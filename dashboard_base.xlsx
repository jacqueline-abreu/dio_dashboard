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9cdf0dbc5b29a58/Ambiente de Trabalho/"/>
    </mc:Choice>
  </mc:AlternateContent>
  <xr:revisionPtr revIDLastSave="8" documentId="8_{AAA85FC9-2CAB-445E-9EF8-25A45A365EAF}" xr6:coauthVersionLast="47" xr6:coauthVersionMax="47" xr10:uidLastSave="{1D81AE57-C197-45A0-B4B6-FF1BB14597BA}"/>
  <bookViews>
    <workbookView xWindow="-120" yWindow="-120" windowWidth="2073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3" i="3" l="1"/>
  <c r="D23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<sst xmlns="http://schemas.openxmlformats.org/spreadsheetml/2006/main" count="2022" uniqueCount="324">
  <si>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</si>
  <si>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</si>
  <si>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</si>
  <si>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</si>
  <si>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</si>
  <si>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</si>
  <si>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</si>
  <si>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</si>
  <si>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</si>
  <si>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</si>
  <si>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</si>
  <si>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</si>
  <si>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</si>
  <si>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</si>
  <si>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</si>
  <si>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</si>
  <si>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</si>
  <si>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</si>
  <si>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</si>
  <si>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</si>
  <si>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</si>
  <si>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</si>
  <si>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</si>
  <si>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</si>
  <si>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</si>
  <si>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</si>
  <si>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</si>
  <si>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</si>
  <si>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</si>
  <si>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</si>
  <si>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</si>
  <si>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</si>
  <si>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</si>
  <si>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</si>
  <si>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</si>
  <si>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</si>
  <si>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</si>
  <si>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</si>
  <si>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</si>
  <si>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</si>
  <si>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</si>
  <si>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</si>
  <si>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</si>
  <si>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</si>
  <si>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</si>
  <si>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</si>
  <si>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</si>
  <si>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</si>
  <si>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</si>
  <si>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</si>
  <si>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</si>
  <si>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</si>
  <si>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</si>
  <si>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</si>
  <si>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</si>
  <si>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</si>
  <si>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</si>
  <si>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</si>
  <si>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</si>
  <si>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</si>
  <si>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</si>
  <si>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</si>
  <si>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</si>
  <si>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</si>
  <si>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</si>
  <si>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</si>
  <si>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</si>
  <si>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</si>
  <si>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</si>
  <si>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</si>
  <si>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</si>
  <si>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</si>
  <si>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</si>
  <si>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</si>
  <si>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</si>
  <si>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</si>
  <si>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</si>
  <si>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</si>
  <si>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</si>
  <si>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</si>
  <si>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</si>
  <si>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</si>
  <si>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</si>
  <si>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</si>
  <si>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</si>
  <si>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</si>
  <si>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</si>
  <si>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</si>
  <si>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</si>
  <si>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</si>
  <si>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</si>
  <si>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</si>
  <si>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</si>
  <si>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</si>
  <si>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</si>
  <si>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</si>
  <si>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</si>
  <si>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</si>
  <si>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</si>
  <si>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</si>
  <si>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</si>
  <si>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</si>
  <si>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</si>
  <si>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</si>
  <si>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</si>
  <si>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</si>
  <si>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</si>
  <si>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</si>
  <si>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</si>
  <si>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</si>
  <si>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</si>
  <si>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</si>
  <si>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</si>
  <si>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</si>
  <si>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</si>
  <si>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</si>
  <si>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</si>
  <si>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</si>
  <si>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</si>
  <si>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</si>
  <si>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</si>
  <si>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</si>
  <si>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</si>
  <si>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</si>
  <si>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</si>
  <si>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</si>
  <si>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</si>
  <si>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</si>
  <si>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</si>
  <si>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</si>
  <si>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</si>
  <si>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</si>
  <si>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</si>
  <si>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</si>
  <si>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</si>
  <si>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</si>
  <si>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</si>
  <si>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</si>
  <si>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</si>
  <si>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</si>
  <si>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</si>
  <si>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</si>
  <si>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</si>
  <si>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</si>
  <si>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</si>
  <si>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</si>
  <si>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</si>
  <si>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</si>
  <si>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</si>
  <si>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</si>
  <si>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</si>
  <si>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</si>
  <si>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</si>
  <si>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</si>
  <si>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</si>
  <si>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</si>
  <si>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</si>
  <si>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</si>
  <si>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</si>
  <si>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</si>
  <si>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</si>
  <si>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</si>
  <si>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</si>
  <si>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</si>
  <si>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</si>
  <si>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</si>
  <si>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</si>
  <si>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</si>
  <si>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</si>
  <si>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</si>
  <si>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</si>
  <si>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</si>
  <si>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</si>
  <si>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</si>
  <si>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</si>
  <si>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</si>
  <si>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</si>
  <si>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</si>
  <si>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</si>
  <si>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</si>
  <si>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</si>
  <si>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</si>
  <si>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</si>
  <si>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</si>
  <si>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</si>
  <si>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</si>
  <si>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</si>
  <si>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</si>
  <si>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</si>
  <si>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</si>
  <si>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</si>
  <si>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</si>
  <si>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</si>
  <si>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</si>
  <si>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</si>
  <si>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</si>
  <si>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</si>
  <si>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</si>
  <si>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</si>
  <si>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</si>
  <si>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</si>
  <si>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</si>
  <si>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</si>
  <si>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</si>
  <si>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</si>
  <si>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</si>
  <si>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</si>
  <si>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</si>
  <si>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</si>
  <si>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</si>
  <si>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</si>
  <si>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</si>
  <si>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</si>
  <si>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</si>
  <si>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</si>
  <si>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</si>
  <si>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</si>
  <si>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</si>
  <si>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</si>
  <si>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</si>
  <si>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</si>
  <si>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</si>
  <si>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</si>
  <si>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</si>
  <si>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</si>
  <si>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</si>
  <si>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</si>
  <si>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</si>
  <si>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</si>
  <si>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</si>
  <si>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</si>
  <si>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</si>
  <si>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</si>
  <si>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</si>
  <si>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</si>
  <si>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</si>
  <si>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</si>
  <si>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</si>
  <si>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</si>
  <si>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</si>
  <si>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</si>
  <si>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</si>
  <si>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</si>
  <si>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</si>
  <si>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</si>
  <si>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</si>
  <si>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</si>
  <si>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</si>
  <si>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</si>
  <si>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</si>
  <si>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</si>
  <si>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</si>
  <si>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</si>
  <si>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</si>
  <si>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</si>
  <si>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</si>
  <si>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</si>
  <si>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</si>
  <si>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</si>
  <si>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</si>
  <si>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</si>
  <si>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</si>
  <si>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</si>
  <si>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</si>
  <si>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</si>
  <si>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</si>
  <si>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</si>
  <si>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</si>
  <si>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</si>
  <si>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</si>
  <si>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</si>
  <si>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</si>
  <si>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</si>
  <si>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</si>
  <si>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</si>
  <si>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</si>
  <si>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</si>
  <si>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</si>
  <si>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</si>
  <si>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</si>
  <si>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</si>
  <si>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</si>
  <si>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</si>
  <si>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</si>
  <si>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</si>
  <si>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</si>
  <si>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</si>
  <si>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</si>
  <si>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</si>
  <si>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</si>
  <si>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</si>
  <si>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</si>
  <si>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</si>
  <si>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</si>
  <si>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</si>
  <si>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</si>
  <si>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</si>
  <si>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</si>
  <si>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</si>
  <si>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</si>
  <si>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</si>
  <si>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</si>
  <si>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</si>
  <si>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</si>
  <si>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</si>
  <si>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</si>
  <si>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</si>
  <si>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</si>
  <si>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</si>
  <si>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</si>
  <si>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</si>
  <si>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</si>
  <si>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</si>
  <si>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</si>
  <si>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</si>
  <si>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</si>
  <si>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É uma pergunta de negócio respondida através de alguma análise de dado específica</t>
  </si>
  <si>
    <t>Pergunta de negocios 3 - Total de vendas de assinatura da EA Play</t>
  </si>
  <si>
    <t>Soma de EA Play Season Pass</t>
  </si>
  <si>
    <r>
      <t xml:space="preserve">Pergunta de Negócio 1 - Qual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</si>
  <si>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e o que não é auto renovação</t>
    </r>
  </si>
  <si>
    <t>XBOX GAME PASS SUBSCRIPTIONS SALES</t>
  </si>
  <si>
    <t>Pergunta de negocios 4 - Total de  assinatura Do Mineacraft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</si>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</sst>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0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5"/>
      <color rgb="FF22C55E"/>
      <name val="Segoe UI"/>
      <family val="2"/>
    </font>
    <font>
      <b/>
      <sz val="15"/>
      <color rgb="FF22C55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4" fillId="8" borderId="0" xfId="3"/>
    <xf numFmtId="0" fontId="6" fillId="0" borderId="0" xfId="0" applyFont="1"/>
    <xf numFmtId="0" fontId="1" fillId="0" borderId="2" xfId="1" applyBorder="1"/>
    <xf numFmtId="0" fontId="9" fillId="7" borderId="0" xfId="4" applyFill="1"/>
    <xf numFmtId="0" fontId="8" fillId="0" borderId="2" xfId="1" applyFont="1" applyFill="1" applyBorder="1" applyAlignment="1">
      <alignment horizontal="left" indent="3"/>
    </xf>
    <xf numFmtId="0" fontId="7" fillId="0" borderId="2" xfId="1" applyFont="1" applyFill="1" applyBorder="1" applyAlignment="1">
      <alignment horizontal="left" indent="4"/>
    </xf>
  </cellXfs>
  <cellStyles count="5">
    <cellStyle name="Hiperlink" xfId="4" builtinId="8"/>
    <cellStyle name="Moeda" xfId="2" builtinId="4"/>
    <cellStyle name="Neutro" xfId="3" builtinId="28"/>
    <cellStyle name="Normal" xfId="0" builtinId="0"/>
    <cellStyle name="Título 1" xfId="1" builtinId="16"/>
  </cellStyles>
  <dxfs count="43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6C3C31CC-1834-48EF-94B7-E2568E485885}">
      <tableStyleElement type="wholeTable" dxfId="25"/>
      <tableStyleElement type="headerRow" dxfId="24"/>
    </tableStyle>
  </tableStyles>
  <colors>
    <mruColors>
      <color rgb="FFFFFFFF"/>
      <color rgb="FF22C55E"/>
      <color rgb="FF5BF6A8"/>
      <color rgb="FFE8E6E9"/>
      <color rgb="FF2AE6B1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[dashboard_base.xlsx]C̳álculos!tbl_annual_total</c:name>
    <c:fmtId val="2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500290340441048E-2"/>
          <c:y val="6.4738976260288683E-2"/>
          <c:w val="0.94849970965955877"/>
          <c:h val="0.899122093405661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8-49D6-A2A8-EE8B1299D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858256"/>
        <c:axId val="147859088"/>
      </c:barChart>
      <c:catAx>
        <c:axId val="147858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859088"/>
        <c:crosses val="autoZero"/>
        <c:auto val="1"/>
        <c:lblAlgn val="ctr"/>
        <c:lblOffset val="100"/>
        <c:noMultiLvlLbl val="0"/>
      </c:catAx>
      <c:valAx>
        <c:axId val="147859088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4785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2012156</xdr:colOff>
      <xdr:row>1</xdr:row>
      <xdr:rowOff>35719</xdr:rowOff>
    </xdr:from>
    <xdr:to>
      <xdr:col>2</xdr:col>
      <xdr:colOff>369094</xdr:colOff>
      <xdr:row>2</xdr:row>
      <xdr:rowOff>261938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2E2F21F-7DB6-4F89-8866-51737B688A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89" t="15882" r="71209" b="9597"/>
        <a:stretch/>
      </xdr:blipFill>
      <xdr:spPr>
        <a:xfrm>
          <a:off x="2012156" y="214313"/>
          <a:ext cx="833438" cy="8691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95248</xdr:rowOff>
    </xdr:from>
    <xdr:to>
      <xdr:col>0</xdr:col>
      <xdr:colOff>2190750</xdr:colOff>
      <xdr:row>15</xdr:row>
      <xdr:rowOff>50005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73273C4C-CAF1-47EE-B10A-CE7CDCA19F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51212"/>
              <a:ext cx="2190750" cy="15195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23813</xdr:colOff>
      <xdr:row>5</xdr:row>
      <xdr:rowOff>35121</xdr:rowOff>
    </xdr:from>
    <xdr:to>
      <xdr:col>16</xdr:col>
      <xdr:colOff>559593</xdr:colOff>
      <xdr:row>41</xdr:row>
      <xdr:rowOff>95249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F130339E-D4E3-48AA-8AEA-40ABC5AFF889}"/>
            </a:ext>
          </a:extLst>
        </xdr:cNvPr>
        <xdr:cNvGrpSpPr/>
      </xdr:nvGrpSpPr>
      <xdr:grpSpPr>
        <a:xfrm>
          <a:off x="2513920" y="1599942"/>
          <a:ext cx="9883887" cy="6115307"/>
          <a:chOff x="2309813" y="1594840"/>
          <a:chExt cx="10013155" cy="6156128"/>
        </a:xfrm>
      </xdr:grpSpPr>
      <xdr:grpSp>
        <xdr:nvGrpSpPr>
          <xdr:cNvPr id="39" name="Agrupar 38">
            <a:extLst>
              <a:ext uri="{FF2B5EF4-FFF2-40B4-BE49-F238E27FC236}">
                <a16:creationId xmlns:a16="http://schemas.microsoft.com/office/drawing/2014/main" id="{662C2F0C-C30C-4023-827C-01DEAA5DB72B}"/>
              </a:ext>
            </a:extLst>
          </xdr:cNvPr>
          <xdr:cNvGrpSpPr/>
        </xdr:nvGrpSpPr>
        <xdr:grpSpPr>
          <a:xfrm>
            <a:off x="2309813" y="1594840"/>
            <a:ext cx="9941718" cy="1672233"/>
            <a:chOff x="2309813" y="1594840"/>
            <a:chExt cx="9941718" cy="1672233"/>
          </a:xfrm>
        </xdr:grpSpPr>
        <xdr:grpSp>
          <xdr:nvGrpSpPr>
            <xdr:cNvPr id="12" name="Agrupar 11">
              <a:extLst>
                <a:ext uri="{FF2B5EF4-FFF2-40B4-BE49-F238E27FC236}">
                  <a16:creationId xmlns:a16="http://schemas.microsoft.com/office/drawing/2014/main" id="{7D2F1C36-78E8-4C5B-BED4-CFB59F659F61}"/>
                </a:ext>
              </a:extLst>
            </xdr:cNvPr>
            <xdr:cNvGrpSpPr/>
          </xdr:nvGrpSpPr>
          <xdr:grpSpPr>
            <a:xfrm>
              <a:off x="2309813" y="1601389"/>
              <a:ext cx="4953000" cy="1665684"/>
              <a:chOff x="2250281" y="1762124"/>
              <a:chExt cx="5560219" cy="1665684"/>
            </a:xfrm>
          </xdr:grpSpPr>
          <xdr:sp macro="" textlink="">
            <xdr:nvSpPr>
              <xdr:cNvPr id="5" name="Retângulo: Cantos Arredondados 4">
                <a:extLst>
                  <a:ext uri="{FF2B5EF4-FFF2-40B4-BE49-F238E27FC236}">
                    <a16:creationId xmlns:a16="http://schemas.microsoft.com/office/drawing/2014/main" id="{B6631C13-CE04-4F87-94DB-A238E108AFC2}"/>
                  </a:ext>
                </a:extLst>
              </xdr:cNvPr>
              <xdr:cNvSpPr/>
            </xdr:nvSpPr>
            <xdr:spPr>
              <a:xfrm>
                <a:off x="2274094" y="1928812"/>
                <a:ext cx="5524499" cy="1464469"/>
              </a:xfrm>
              <a:prstGeom prst="roundRect">
                <a:avLst>
                  <a:gd name="adj" fmla="val 6032"/>
                </a:avLst>
              </a:prstGeom>
              <a:solidFill>
                <a:schemeClr val="bg1"/>
              </a:solidFill>
              <a:ln>
                <a:solidFill>
                  <a:schemeClr val="bg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pSp>
            <xdr:nvGrpSpPr>
              <xdr:cNvPr id="11" name="Agrupar 10">
                <a:extLst>
                  <a:ext uri="{FF2B5EF4-FFF2-40B4-BE49-F238E27FC236}">
                    <a16:creationId xmlns:a16="http://schemas.microsoft.com/office/drawing/2014/main" id="{854EE0EC-6137-494B-8838-30F7B76F32C3}"/>
                  </a:ext>
                </a:extLst>
              </xdr:cNvPr>
              <xdr:cNvGrpSpPr/>
            </xdr:nvGrpSpPr>
            <xdr:grpSpPr>
              <a:xfrm>
                <a:off x="2250281" y="1762124"/>
                <a:ext cx="5560219" cy="1665684"/>
                <a:chOff x="2262187" y="1738312"/>
                <a:chExt cx="5560219" cy="1665684"/>
              </a:xfrm>
            </xdr:grpSpPr>
            <xdr:sp macro="" textlink="C̳álculos!D23">
              <xdr:nvSpPr>
                <xdr:cNvPr id="8" name="Retângulo: Cantos Arredondados 7">
                  <a:extLst>
                    <a:ext uri="{FF2B5EF4-FFF2-40B4-BE49-F238E27FC236}">
                      <a16:creationId xmlns:a16="http://schemas.microsoft.com/office/drawing/2014/main" id="{CF535CA3-B577-44CF-B97B-9824D2804CA0}"/>
                    </a:ext>
                  </a:extLst>
                </xdr:cNvPr>
                <xdr:cNvSpPr/>
              </xdr:nvSpPr>
              <xdr:spPr>
                <a:xfrm>
                  <a:off x="3736415" y="2124670"/>
                  <a:ext cx="2809876" cy="1166813"/>
                </a:xfrm>
                <a:prstGeom prst="roundRect">
                  <a:avLst>
                    <a:gd name="adj" fmla="val 7484"/>
                  </a:avLst>
                </a:prstGeom>
                <a:noFill/>
                <a:ln>
                  <a:solidFill>
                    <a:schemeClr val="bg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fld id="{AAAAB5AA-81FE-47E5-BFC6-2F1429ED2F94}" type="TxLink">
                    <a:rPr lang="en-US" sz="3200" b="0" i="0" u="none" strike="noStrike">
                      <a:solidFill>
                        <a:srgbClr val="22C55E"/>
                      </a:solidFill>
                      <a:latin typeface="Aptos Narrow"/>
                    </a:rPr>
                    <a:pPr algn="ctr"/>
                    <a:t>R$ 600,00</a:t>
                  </a:fld>
                  <a:endParaRPr lang="en-US" sz="3200">
                    <a:solidFill>
                      <a:srgbClr val="22C55E"/>
                    </a:solidFill>
                  </a:endParaRPr>
                </a:p>
              </xdr:txBody>
            </xdr:sp>
            <xdr:pic>
              <xdr:nvPicPr>
                <xdr:cNvPr id="9" name="Imagem 8">
                  <a:extLst>
                    <a:ext uri="{FF2B5EF4-FFF2-40B4-BE49-F238E27FC236}">
                      <a16:creationId xmlns:a16="http://schemas.microsoft.com/office/drawing/2014/main" id="{22671476-4C91-4F18-A21B-15548EA0E1E8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2321719" y="2012157"/>
                  <a:ext cx="1571108" cy="1391839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0" name="Retângulo: Cantos Superiores Arredondados 9">
                  <a:extLst>
                    <a:ext uri="{FF2B5EF4-FFF2-40B4-BE49-F238E27FC236}">
                      <a16:creationId xmlns:a16="http://schemas.microsoft.com/office/drawing/2014/main" id="{8C705740-F0EC-47C3-9998-F9B97C40FEEF}"/>
                    </a:ext>
                  </a:extLst>
                </xdr:cNvPr>
                <xdr:cNvSpPr/>
              </xdr:nvSpPr>
              <xdr:spPr>
                <a:xfrm>
                  <a:off x="2262187" y="1738312"/>
                  <a:ext cx="5560219" cy="381001"/>
                </a:xfrm>
                <a:prstGeom prst="round2SameRect">
                  <a:avLst/>
                </a:prstGeom>
                <a:solidFill>
                  <a:srgbClr val="22C55E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pt-BR" sz="1400" b="1">
                      <a:latin typeface="Segoe UI" panose="020B0502040204020203" pitchFamily="34" charset="0"/>
                      <a:cs typeface="Segoe UI" panose="020B0502040204020203" pitchFamily="34" charset="0"/>
                    </a:rPr>
                    <a:t>TOTAL</a:t>
                  </a:r>
                  <a:r>
                    <a:rPr lang="pt-BR" sz="1400" b="1" baseline="0">
                      <a:latin typeface="Segoe UI" panose="020B0502040204020203" pitchFamily="34" charset="0"/>
                      <a:cs typeface="Segoe UI" panose="020B0502040204020203" pitchFamily="34" charset="0"/>
                    </a:rPr>
                    <a:t> SUBSCRITIONS EA PLAY SEASON PASS</a:t>
                  </a:r>
                  <a:endParaRPr lang="pt-BR" sz="1400" b="1"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</xdr:grpSp>
        </xdr:grpSp>
        <xdr:grpSp>
          <xdr:nvGrpSpPr>
            <xdr:cNvPr id="16" name="Agrupar 15">
              <a:extLst>
                <a:ext uri="{FF2B5EF4-FFF2-40B4-BE49-F238E27FC236}">
                  <a16:creationId xmlns:a16="http://schemas.microsoft.com/office/drawing/2014/main" id="{F1A717AB-8D43-4860-802D-9A9CE90F399E}"/>
                </a:ext>
              </a:extLst>
            </xdr:cNvPr>
            <xdr:cNvGrpSpPr/>
          </xdr:nvGrpSpPr>
          <xdr:grpSpPr>
            <a:xfrm>
              <a:off x="7298532" y="1594840"/>
              <a:ext cx="4952999" cy="1631157"/>
              <a:chOff x="7489032" y="1393032"/>
              <a:chExt cx="4953000" cy="1631157"/>
            </a:xfrm>
          </xdr:grpSpPr>
          <xdr:grpSp>
            <xdr:nvGrpSpPr>
              <xdr:cNvPr id="17" name="Agrupar 16">
                <a:extLst>
                  <a:ext uri="{FF2B5EF4-FFF2-40B4-BE49-F238E27FC236}">
                    <a16:creationId xmlns:a16="http://schemas.microsoft.com/office/drawing/2014/main" id="{8BD7F65F-3B21-447B-B52F-7BE4C94432B2}"/>
                  </a:ext>
                </a:extLst>
              </xdr:cNvPr>
              <xdr:cNvGrpSpPr/>
            </xdr:nvGrpSpPr>
            <xdr:grpSpPr>
              <a:xfrm>
                <a:off x="7489032" y="1393032"/>
                <a:ext cx="4953000" cy="1631157"/>
                <a:chOff x="2250281" y="1762124"/>
                <a:chExt cx="5560219" cy="1631157"/>
              </a:xfrm>
            </xdr:grpSpPr>
            <xdr:sp macro="" textlink="">
              <xdr:nvSpPr>
                <xdr:cNvPr id="18" name="Retângulo: Cantos Arredondados 17">
                  <a:extLst>
                    <a:ext uri="{FF2B5EF4-FFF2-40B4-BE49-F238E27FC236}">
                      <a16:creationId xmlns:a16="http://schemas.microsoft.com/office/drawing/2014/main" id="{A983B6CC-9FDB-4896-BFC1-001B6CD87ACB}"/>
                    </a:ext>
                  </a:extLst>
                </xdr:cNvPr>
                <xdr:cNvSpPr/>
              </xdr:nvSpPr>
              <xdr:spPr>
                <a:xfrm>
                  <a:off x="2274094" y="1928812"/>
                  <a:ext cx="5524499" cy="1464469"/>
                </a:xfrm>
                <a:prstGeom prst="roundRect">
                  <a:avLst>
                    <a:gd name="adj" fmla="val 6032"/>
                  </a:avLst>
                </a:prstGeom>
                <a:solidFill>
                  <a:schemeClr val="bg1"/>
                </a:solidFill>
                <a:ln>
                  <a:solidFill>
                    <a:schemeClr val="bg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/>
                </a:p>
              </xdr:txBody>
            </xdr:sp>
            <xdr:grpSp>
              <xdr:nvGrpSpPr>
                <xdr:cNvPr id="19" name="Agrupar 18">
                  <a:extLst>
                    <a:ext uri="{FF2B5EF4-FFF2-40B4-BE49-F238E27FC236}">
                      <a16:creationId xmlns:a16="http://schemas.microsoft.com/office/drawing/2014/main" id="{449D2BB7-6460-456F-9861-2709EBF9BCDC}"/>
                    </a:ext>
                  </a:extLst>
                </xdr:cNvPr>
                <xdr:cNvGrpSpPr/>
              </xdr:nvGrpSpPr>
              <xdr:grpSpPr>
                <a:xfrm>
                  <a:off x="2250281" y="1762124"/>
                  <a:ext cx="5560219" cy="1440658"/>
                  <a:chOff x="2262187" y="1738312"/>
                  <a:chExt cx="5560219" cy="1440658"/>
                </a:xfrm>
              </xdr:grpSpPr>
              <xdr:sp macro="" textlink="C̳álculos!D33">
                <xdr:nvSpPr>
                  <xdr:cNvPr id="20" name="Retângulo: Cantos Arredondados 19">
                    <a:extLst>
                      <a:ext uri="{FF2B5EF4-FFF2-40B4-BE49-F238E27FC236}">
                        <a16:creationId xmlns:a16="http://schemas.microsoft.com/office/drawing/2014/main" id="{4BDABA1C-42C5-48C9-9A26-1C9E0616FC83}"/>
                      </a:ext>
                    </a:extLst>
                  </xdr:cNvPr>
                  <xdr:cNvSpPr/>
                </xdr:nvSpPr>
                <xdr:spPr>
                  <a:xfrm>
                    <a:off x="3736415" y="2012157"/>
                    <a:ext cx="2809876" cy="1166813"/>
                  </a:xfrm>
                  <a:prstGeom prst="roundRect">
                    <a:avLst>
                      <a:gd name="adj" fmla="val 7484"/>
                    </a:avLst>
                  </a:prstGeom>
                  <a:noFill/>
                  <a:ln>
                    <a:solidFill>
                      <a:schemeClr val="bg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C915AC83-45B0-40FD-8355-F7D9A8059907}" type="TxLink">
                      <a:rPr lang="en-US" sz="3200" b="0" i="0" u="none" strike="noStrike">
                        <a:solidFill>
                          <a:srgbClr val="22C55E"/>
                        </a:solidFill>
                        <a:latin typeface="Aptos Narrow"/>
                      </a:rPr>
                      <a:t>R$ 940,00</a:t>
                    </a:fld>
                    <a:endParaRPr lang="en-US" sz="7200">
                      <a:solidFill>
                        <a:srgbClr val="22C55E"/>
                      </a:solidFill>
                    </a:endParaRPr>
                  </a:p>
                </xdr:txBody>
              </xdr:sp>
              <xdr:sp macro="" textlink="">
                <xdr:nvSpPr>
                  <xdr:cNvPr id="22" name="Retângulo: Cantos Superiores Arredondados 21">
                    <a:extLst>
                      <a:ext uri="{FF2B5EF4-FFF2-40B4-BE49-F238E27FC236}">
                        <a16:creationId xmlns:a16="http://schemas.microsoft.com/office/drawing/2014/main" id="{4AC8ECF5-FA84-457D-9E5C-A2193E0252DF}"/>
                      </a:ext>
                    </a:extLst>
                  </xdr:cNvPr>
                  <xdr:cNvSpPr/>
                </xdr:nvSpPr>
                <xdr:spPr>
                  <a:xfrm>
                    <a:off x="2262187" y="1738312"/>
                    <a:ext cx="5560219" cy="381001"/>
                  </a:xfrm>
                  <a:prstGeom prst="round2SameRect">
                    <a:avLst/>
                  </a:prstGeom>
                  <a:solidFill>
                    <a:srgbClr val="22C55E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r>
                      <a:rPr lang="pt-BR" sz="1400" b="1"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t>TOTAL</a:t>
                    </a:r>
                    <a:r>
                      <a:rPr lang="pt-BR" sz="1400" b="1" baseline="0"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t> SUBSCRITIONS MINECRAFT SEASON PASS</a:t>
                    </a:r>
                    <a:endParaRPr lang="pt-BR" sz="1400" b="1">
                      <a:latin typeface="Segoe UI" panose="020B0502040204020203" pitchFamily="34" charset="0"/>
                      <a:cs typeface="Segoe UI" panose="020B0502040204020203" pitchFamily="34" charset="0"/>
                    </a:endParaRPr>
                  </a:p>
                </xdr:txBody>
              </xdr:sp>
            </xdr:grpSp>
          </xdr:grpSp>
          <xdr:grpSp>
            <xdr:nvGrpSpPr>
              <xdr:cNvPr id="24" name="Agrupar 23">
                <a:extLst>
                  <a:ext uri="{FF2B5EF4-FFF2-40B4-BE49-F238E27FC236}">
                    <a16:creationId xmlns:a16="http://schemas.microsoft.com/office/drawing/2014/main" id="{A418D624-24AC-4388-A915-1F8644F71F61}"/>
                  </a:ext>
                </a:extLst>
              </xdr:cNvPr>
              <xdr:cNvGrpSpPr/>
            </xdr:nvGrpSpPr>
            <xdr:grpSpPr>
              <a:xfrm>
                <a:off x="7536656" y="1869282"/>
                <a:ext cx="1321593" cy="797718"/>
                <a:chOff x="3495675" y="5400674"/>
                <a:chExt cx="1549476" cy="752476"/>
              </a:xfrm>
            </xdr:grpSpPr>
            <xdr:pic>
              <xdr:nvPicPr>
                <xdr:cNvPr id="25" name="Imagem 24">
                  <a:extLst>
                    <a:ext uri="{FF2B5EF4-FFF2-40B4-BE49-F238E27FC236}">
                      <a16:creationId xmlns:a16="http://schemas.microsoft.com/office/drawing/2014/main" id="{512F3546-8795-408D-8435-6ED8440DC6BA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3998608" y="5400674"/>
                  <a:ext cx="555496" cy="609599"/>
                </a:xfrm>
                <a:prstGeom prst="rect">
                  <a:avLst/>
                </a:prstGeom>
              </xdr:spPr>
            </xdr:pic>
            <xdr:pic>
              <xdr:nvPicPr>
                <xdr:cNvPr id="26" name="Gráfico 25">
                  <a:extLst>
                    <a:ext uri="{FF2B5EF4-FFF2-40B4-BE49-F238E27FC236}">
                      <a16:creationId xmlns:a16="http://schemas.microsoft.com/office/drawing/2014/main" id="{C045F814-DB32-4323-9634-26D321114532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4">
                  <a:extLst>
                    <a:ext uri="{96DAC541-7B7A-43D3-8B79-37D633B846F1}">
                      <asvg:svgBlip xmlns:asvg="http://schemas.microsoft.com/office/drawing/2016/SVG/main" r:embed="rId5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3495675" y="5895937"/>
                  <a:ext cx="1549476" cy="257213"/>
                </a:xfrm>
                <a:prstGeom prst="rect">
                  <a:avLst/>
                </a:prstGeom>
              </xdr:spPr>
            </xdr:pic>
          </xdr:grpSp>
        </xdr:grpSp>
      </xdr:grpSp>
      <xdr:grpSp>
        <xdr:nvGrpSpPr>
          <xdr:cNvPr id="37" name="Agrupar 36">
            <a:extLst>
              <a:ext uri="{FF2B5EF4-FFF2-40B4-BE49-F238E27FC236}">
                <a16:creationId xmlns:a16="http://schemas.microsoft.com/office/drawing/2014/main" id="{F5A57D1C-4785-469B-A358-89CC10F48904}"/>
              </a:ext>
            </a:extLst>
          </xdr:cNvPr>
          <xdr:cNvGrpSpPr/>
        </xdr:nvGrpSpPr>
        <xdr:grpSpPr>
          <a:xfrm>
            <a:off x="2321719" y="3429000"/>
            <a:ext cx="10001249" cy="4321968"/>
            <a:chOff x="2238376" y="3345656"/>
            <a:chExt cx="10227468" cy="3381376"/>
          </a:xfrm>
        </xdr:grpSpPr>
        <xdr:grpSp>
          <xdr:nvGrpSpPr>
            <xdr:cNvPr id="36" name="Agrupar 35">
              <a:extLst>
                <a:ext uri="{FF2B5EF4-FFF2-40B4-BE49-F238E27FC236}">
                  <a16:creationId xmlns:a16="http://schemas.microsoft.com/office/drawing/2014/main" id="{B48F90B0-36E3-4086-86B0-55E80D81B7A8}"/>
                </a:ext>
              </a:extLst>
            </xdr:cNvPr>
            <xdr:cNvGrpSpPr/>
          </xdr:nvGrpSpPr>
          <xdr:grpSpPr>
            <a:xfrm>
              <a:off x="2250281" y="3619500"/>
              <a:ext cx="10215563" cy="3107532"/>
              <a:chOff x="2250281" y="3619500"/>
              <a:chExt cx="10215563" cy="3107532"/>
            </a:xfrm>
          </xdr:grpSpPr>
          <xdr:sp macro="" textlink="">
            <xdr:nvSpPr>
              <xdr:cNvPr id="13" name="Retângulo: Cantos Arredondados 12">
                <a:extLst>
                  <a:ext uri="{FF2B5EF4-FFF2-40B4-BE49-F238E27FC236}">
                    <a16:creationId xmlns:a16="http://schemas.microsoft.com/office/drawing/2014/main" id="{E7A2C91D-9963-4377-B8AB-2906AB15E883}"/>
                  </a:ext>
                </a:extLst>
              </xdr:cNvPr>
              <xdr:cNvSpPr/>
            </xdr:nvSpPr>
            <xdr:spPr>
              <a:xfrm>
                <a:off x="2250281" y="3619500"/>
                <a:ext cx="10215563" cy="3107532"/>
              </a:xfrm>
              <a:prstGeom prst="roundRect">
                <a:avLst>
                  <a:gd name="adj" fmla="val 3788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aphicFrame macro="">
            <xdr:nvGraphicFramePr>
              <xdr:cNvPr id="4" name="Gráfico 3">
                <a:extLst>
                  <a:ext uri="{FF2B5EF4-FFF2-40B4-BE49-F238E27FC236}">
                    <a16:creationId xmlns:a16="http://schemas.microsoft.com/office/drawing/2014/main" id="{7BFE027E-3EC7-49FE-9CD5-E56E8D6F2962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369344" y="3892588"/>
              <a:ext cx="9256375" cy="2712028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</xdr:grpSp>
        <xdr:sp macro="" textlink="">
          <xdr:nvSpPr>
            <xdr:cNvPr id="35" name="Retângulo: Cantos Superiores Arredondados 34">
              <a:extLst>
                <a:ext uri="{FF2B5EF4-FFF2-40B4-BE49-F238E27FC236}">
                  <a16:creationId xmlns:a16="http://schemas.microsoft.com/office/drawing/2014/main" id="{DADCBFAA-686B-4A9A-AFA1-755E0E9AFB1E}"/>
                </a:ext>
              </a:extLst>
            </xdr:cNvPr>
            <xdr:cNvSpPr/>
          </xdr:nvSpPr>
          <xdr:spPr>
            <a:xfrm>
              <a:off x="2238376" y="3345656"/>
              <a:ext cx="10227468" cy="381001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SUBSCRITIONS XBOX PASS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 editAs="absolute">
    <xdr:from>
      <xdr:col>0</xdr:col>
      <xdr:colOff>697706</xdr:colOff>
      <xdr:row>0</xdr:row>
      <xdr:rowOff>166688</xdr:rowOff>
    </xdr:from>
    <xdr:to>
      <xdr:col>0</xdr:col>
      <xdr:colOff>1469231</xdr:colOff>
      <xdr:row>2</xdr:row>
      <xdr:rowOff>2382</xdr:rowOff>
    </xdr:to>
    <xdr:sp macro="" textlink="">
      <xdr:nvSpPr>
        <xdr:cNvPr id="40" name="Elipse 39">
          <a:extLst>
            <a:ext uri="{FF2B5EF4-FFF2-40B4-BE49-F238E27FC236}">
              <a16:creationId xmlns:a16="http://schemas.microsoft.com/office/drawing/2014/main" id="{E58DBF39-079E-4235-B254-3462C9874433}"/>
            </a:ext>
          </a:extLst>
        </xdr:cNvPr>
        <xdr:cNvSpPr/>
      </xdr:nvSpPr>
      <xdr:spPr>
        <a:xfrm>
          <a:off x="697706" y="166688"/>
          <a:ext cx="771525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309561</xdr:colOff>
      <xdr:row>2</xdr:row>
      <xdr:rowOff>226220</xdr:rowOff>
    </xdr:from>
    <xdr:to>
      <xdr:col>0</xdr:col>
      <xdr:colOff>1857375</xdr:colOff>
      <xdr:row>3</xdr:row>
      <xdr:rowOff>119062</xdr:rowOff>
    </xdr:to>
    <xdr:sp macro="" textlink="">
      <xdr:nvSpPr>
        <xdr:cNvPr id="38" name="Retângulo 37">
          <a:extLst>
            <a:ext uri="{FF2B5EF4-FFF2-40B4-BE49-F238E27FC236}">
              <a16:creationId xmlns:a16="http://schemas.microsoft.com/office/drawing/2014/main" id="{4164800E-42F9-4806-8DC6-0C7052244EF9}"/>
            </a:ext>
          </a:extLst>
        </xdr:cNvPr>
        <xdr:cNvSpPr/>
      </xdr:nvSpPr>
      <xdr:spPr>
        <a:xfrm>
          <a:off x="309561" y="1047751"/>
          <a:ext cx="1547814" cy="2024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Bem</a:t>
          </a:r>
          <a:r>
            <a:rPr lang="pt-BR" sz="1400" b="1" baseline="0"/>
            <a:t> vinda, Jéssica</a:t>
          </a:r>
          <a:endParaRPr lang="pt-BR" sz="1400" b="1"/>
        </a:p>
      </xdr:txBody>
    </xdr:sp>
    <xdr:clientData/>
  </xdr:twoCellAnchor>
  <xdr:twoCellAnchor editAs="absolute">
    <xdr:from>
      <xdr:col>1</xdr:col>
      <xdr:colOff>23812</xdr:colOff>
      <xdr:row>2</xdr:row>
      <xdr:rowOff>297657</xdr:rowOff>
    </xdr:from>
    <xdr:to>
      <xdr:col>9</xdr:col>
      <xdr:colOff>285750</xdr:colOff>
      <xdr:row>3</xdr:row>
      <xdr:rowOff>285750</xdr:rowOff>
    </xdr:to>
    <xdr:sp macro="" textlink="">
      <xdr:nvSpPr>
        <xdr:cNvPr id="48" name="Retângulo 47">
          <a:extLst>
            <a:ext uri="{FF2B5EF4-FFF2-40B4-BE49-F238E27FC236}">
              <a16:creationId xmlns:a16="http://schemas.microsoft.com/office/drawing/2014/main" id="{44513122-30AA-41FD-8C31-9DAF316C6454}"/>
            </a:ext>
          </a:extLst>
        </xdr:cNvPr>
        <xdr:cNvSpPr/>
      </xdr:nvSpPr>
      <xdr:spPr>
        <a:xfrm>
          <a:off x="2262187" y="1119188"/>
          <a:ext cx="5334001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200" b="0" baseline="0">
              <a:solidFill>
                <a:schemeClr val="tx1">
                  <a:lumMod val="65000"/>
                  <a:lumOff val="35000"/>
                </a:schemeClr>
              </a:solidFill>
            </a:rPr>
            <a:t>Calculation period: 01/01/2026 - 31/12/2026 | Update Date: 18/10/2026 18:30</a:t>
          </a:r>
          <a:endParaRPr lang="pt-BR" sz="1200" b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que Abreu" refreshedDate="46313.901520833337" createdVersion="7" refreshedVersion="7" minRefreshableVersion="3" recordCount="295" xr:uid="{A5BE97A6-9FB5-40F0-9FE2-252309108F8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157257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966A1-66EF-418D-83D8-77D4D6C9AF6B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5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B46EC-A39A-4717-868C-E4B48E3CA917}" name="tbl_easeasonpass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5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D1FAC-7CEF-4C93-A241-7B03CA0BB139}" name="tbl_annual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5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formats count="1">
    <format dxfId="28">
      <pivotArea outline="0" collapsedLevelsAreSubtotals="1" fieldPosition="0"/>
    </format>
  </formats>
  <chartFormats count="3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868A8D5-64BF-41CA-B3FC-BE1CF2110F15}" sourceName="Subscription Type">
  <pivotTables>
    <pivotTable tabId="3" name="tbl_annual_total"/>
    <pivotTable tabId="3" name="tbl_easeasonpass_total"/>
    <pivotTable tabId="3" name="Tabela dinâmica1"/>
  </pivotTables>
  <data>
    <tabular pivotCacheId="51572572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48F5D17-0A81-4732-9F47-4891F23E832B}" cache="SegmentaçãodeDados_Subscription_Type" caption="Subscription Type" style="SlicerStyleLight3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42">
  <autoFilter ref="A1:M296" xr:uid="{34E0E886-4200-4B36-97B3-63DB74FF40A0}"/>
  <tableColumns count="13">
    <tableColumn id="1" xr3:uid="{C4A90516-688A-46BF-9167-EA16C2A8A652}" name="Subscriber ID" dataDxfId="41"/>
    <tableColumn id="2" xr3:uid="{53DD39D0-2220-4121-9E9D-4EAA7E151C0F}" name="Name" dataDxfId="40"/>
    <tableColumn id="3" xr3:uid="{4F5FF271-4C57-4BE0-8F2C-F82C8551625C}" name="Plan" dataDxfId="39"/>
    <tableColumn id="4" xr3:uid="{8C17EB93-79B9-4E55-B8F7-BEB82F8253E9}" name="Start Date" dataDxfId="38"/>
    <tableColumn id="5" xr3:uid="{48CEDF9B-1689-482A-A828-5CCE7713264A}" name="Auto Renewal" dataDxfId="37"/>
    <tableColumn id="6" xr3:uid="{78B82374-9AA7-4E38-AE4F-78CDE6C83720}" name="Subscription Price" dataDxfId="36" dataCellStyle="Moeda"/>
    <tableColumn id="7" xr3:uid="{F2433F68-AF33-49D0-B1FB-19A396074EDE}" name="Subscription Type" dataDxfId="35"/>
    <tableColumn id="8" xr3:uid="{FD4D9C95-F6E5-4933-9068-A71FF7DF9343}" name="EA Play Season Pass" dataDxfId="34"/>
    <tableColumn id="13" xr3:uid="{978DD0D2-834E-4CE4-A39B-30976086932F}" name="EA Play Season Pass_x000a_Price" dataDxfId="33" dataCellStyle="Moeda"/>
    <tableColumn id="9" xr3:uid="{6E29F111-C395-4580-9DAD-3407D9E8B1A4}" name="Minecraft Season Pass" dataDxfId="32"/>
    <tableColumn id="10" xr3:uid="{EF544EAA-7F25-4FD5-A10E-8E62804DB9E3}" name="Minecraft Season Pass Price" dataDxfId="31" dataCellStyle="Moeda"/>
    <tableColumn id="11" xr3:uid="{7F6EB64A-1F07-4E48-9F0F-AC7D9DCD26F8}" name="Coupon Value" dataDxfId="30" dataCellStyle="Moeda"/>
    <tableColumn id="12" xr3:uid="{2B04ABC8-DE6F-426E-ADC0-D8AFC68CA58E}" name="Total Value" dataDxfId="29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D29" sqref="D29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D29" sqref="D29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5"/>
  <sheetViews>
    <sheetView topLeftCell="A22" workbookViewId="0">
      <selection activeCell="D29" sqref="D29"/>
    </sheetView>
  </sheetViews>
  <sheetFormatPr defaultRowHeight="14.25"/>
  <cols>
    <col min="2" max="2" width="18" bestFit="1" customWidth="1"/>
    <col min="3" max="3" width="35.125" bestFit="1" customWidth="1"/>
    <col min="4" max="4" width="30.62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5">
      <c r="B3" s="15" t="s">
        <v>316</v>
      </c>
      <c r="C3" s="15"/>
      <c r="D3" s="15"/>
      <c r="E3" s="15"/>
    </row>
    <row r="5" spans="2:5" ht="15">
      <c r="B5" t="s">
        <v>319</v>
      </c>
      <c r="C5" s="16"/>
    </row>
    <row r="6" spans="2:5" ht="15">
      <c r="B6" t="s">
        <v>320</v>
      </c>
    </row>
    <row r="8" spans="2:5">
      <c r="B8" s="12" t="s">
        <v>16</v>
      </c>
      <c r="C8" t="s">
        <v>24</v>
      </c>
    </row>
    <row r="10" spans="2:5">
      <c r="B10" s="12" t="s">
        <v>313</v>
      </c>
      <c r="C10" t="s">
        <v>315</v>
      </c>
    </row>
    <row r="11" spans="2:5">
      <c r="B11" s="13" t="s">
        <v>23</v>
      </c>
      <c r="C11" s="14">
        <v>217</v>
      </c>
    </row>
    <row r="12" spans="2:5">
      <c r="B12" s="13" t="s">
        <v>19</v>
      </c>
      <c r="C12" s="14">
        <v>1537</v>
      </c>
    </row>
    <row r="13" spans="2:5">
      <c r="B13" s="13" t="s">
        <v>314</v>
      </c>
      <c r="C13" s="14">
        <v>1754</v>
      </c>
    </row>
    <row r="16" spans="2:5">
      <c r="B16" s="13" t="s">
        <v>317</v>
      </c>
    </row>
    <row r="18" spans="2:4">
      <c r="B18" s="12" t="s">
        <v>16</v>
      </c>
      <c r="C18" t="s">
        <v>24</v>
      </c>
    </row>
    <row r="20" spans="2:4">
      <c r="B20" s="12" t="s">
        <v>313</v>
      </c>
      <c r="C20" t="s">
        <v>318</v>
      </c>
    </row>
    <row r="21" spans="2:4">
      <c r="B21" s="13" t="s">
        <v>22</v>
      </c>
      <c r="C21" s="14">
        <v>0</v>
      </c>
    </row>
    <row r="22" spans="2:4">
      <c r="B22" s="13" t="s">
        <v>26</v>
      </c>
      <c r="C22" s="14">
        <v>0</v>
      </c>
    </row>
    <row r="23" spans="2:4">
      <c r="B23" s="13" t="s">
        <v>18</v>
      </c>
      <c r="C23" s="14">
        <v>600</v>
      </c>
      <c r="D23" s="14">
        <f>GETPIVOTDATA("EA Play Season Pass
Price",$B$20)</f>
        <v>600</v>
      </c>
    </row>
    <row r="24" spans="2:4">
      <c r="B24" s="13" t="s">
        <v>314</v>
      </c>
      <c r="C24" s="14">
        <v>600</v>
      </c>
      <c r="D24" s="14"/>
    </row>
    <row r="27" spans="2:4">
      <c r="B27" s="13" t="s">
        <v>322</v>
      </c>
    </row>
    <row r="29" spans="2:4">
      <c r="B29" s="12" t="s">
        <v>16</v>
      </c>
      <c r="C29" t="s">
        <v>24</v>
      </c>
    </row>
    <row r="31" spans="2:4">
      <c r="B31" s="12" t="s">
        <v>313</v>
      </c>
      <c r="C31" t="s">
        <v>323</v>
      </c>
    </row>
    <row r="32" spans="2:4">
      <c r="B32" s="13" t="s">
        <v>22</v>
      </c>
      <c r="C32" s="14">
        <v>0</v>
      </c>
    </row>
    <row r="33" spans="2:4">
      <c r="B33" s="13" t="s">
        <v>26</v>
      </c>
      <c r="C33" s="14">
        <v>540</v>
      </c>
      <c r="D33" s="14">
        <f>GETPIVOTDATA("Minecraft Season Pass Price",$B$31)</f>
        <v>940</v>
      </c>
    </row>
    <row r="34" spans="2:4">
      <c r="B34" s="13" t="s">
        <v>18</v>
      </c>
      <c r="C34" s="14">
        <v>400</v>
      </c>
    </row>
    <row r="35" spans="2:4">
      <c r="B35" s="13" t="s">
        <v>314</v>
      </c>
      <c r="C35" s="14">
        <v>940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Z422"/>
  <sheetViews>
    <sheetView showGridLines="0" showRowColHeaders="0" tabSelected="1" zoomScale="70" zoomScaleNormal="70" workbookViewId="0">
      <selection activeCell="T16" sqref="T16"/>
    </sheetView>
  </sheetViews>
  <sheetFormatPr defaultRowHeight="14.25"/>
  <cols>
    <col min="1" max="1" width="29.375" style="4" customWidth="1"/>
    <col min="2" max="2" width="3.125" customWidth="1"/>
    <col min="12" max="12" width="6.625" customWidth="1"/>
  </cols>
  <sheetData>
    <row r="2" spans="2:26" ht="51" customHeight="1" thickBot="1">
      <c r="C2" s="20" t="s">
        <v>321</v>
      </c>
      <c r="D2" s="19"/>
      <c r="E2" s="19"/>
      <c r="F2" s="19"/>
      <c r="G2" s="19"/>
      <c r="H2" s="19"/>
      <c r="I2" s="17"/>
      <c r="J2" s="17"/>
      <c r="K2" s="17"/>
      <c r="L2" s="17"/>
      <c r="M2" s="17"/>
      <c r="N2" s="17"/>
      <c r="O2" s="17"/>
      <c r="P2" s="17"/>
      <c r="Q2" s="17"/>
    </row>
    <row r="3" spans="2:26" ht="24" customHeight="1" thickTop="1"/>
    <row r="4" spans="2:26" ht="25.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2:26" ht="8.2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2:26" ht="7.5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2:26" ht="10.5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2:26" ht="9.75" customHeight="1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2:26" ht="17.25" customHeight="1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2:26" hidden="1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2:26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2:26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2:26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2:26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2:26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2:26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2:26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2:26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18"/>
      <c r="U18" s="7"/>
      <c r="V18" s="7"/>
      <c r="W18" s="7"/>
      <c r="X18" s="7"/>
      <c r="Y18" s="7"/>
      <c r="Z18" s="7"/>
    </row>
    <row r="19" spans="2:26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2:26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2:26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2:26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2:26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2:26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2:26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2:26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2:26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2:26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2:26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2:26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2:26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2:26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2:26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2:26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2:26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2:26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2:26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2:26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2:26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2:26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2:26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2:26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2:26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2:26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2:26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2:26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2:26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2:26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2:26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2:26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2:26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2:26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2:26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2:26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2:26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2:26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2:26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2:26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2:26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2:26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2:26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2:26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2:26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2:26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2:26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2:26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2:26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2:26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2:26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2:26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2:26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2:26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2:26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2:26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2:26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2:26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2:26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2:26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2:26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2:26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2:26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2:26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2:26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2:26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2:26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2:26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2:26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2:26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2:26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2:26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2:26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2:26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2:26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2:26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2:26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2:26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2:26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2:26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2:26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2:26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2:26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2:26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2:26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2:26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2:26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2:26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2:26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2:26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2:26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2:26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2:26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2:26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2:26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2:26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2:26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2:26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2:26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2:26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2:26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2:26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2:26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2:26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2:26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2:26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2:26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2:26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2:26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2:26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2:26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2:26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2:26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2:26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2:26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2:26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2:26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2:26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2:26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2:26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2:26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2:26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2:26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2:26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2:26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2:26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2:26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2:26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2:26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2:26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2:26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2:26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2:26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2:26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2:26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2:26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2:26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2:26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2:26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2:26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2:26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2:26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2:26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2:26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2:26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2:26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2:26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2:26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2:26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2:26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2:26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2:26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2:26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2:26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2:26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2:26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2:26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2:26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2:26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2:26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2:26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2:26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2:26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2:26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2:26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2:26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2:26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2:26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2:26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2:26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2:26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2:26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2:26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2:26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2:26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2:26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2:26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2:26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2:26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2:26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2:26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2:26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2:26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2:26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2:26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2:26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2:26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2:26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2:26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2:26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2:26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2:26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2:26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2:26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2:26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2:26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2:26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2:26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2:26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2:26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2:26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2:26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2:26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2:26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2:26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2:26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2:26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2:26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2:26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2:26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2:26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2:26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2:26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2:26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2:26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2:26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2:26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2:26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2:26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2:26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2:26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2:26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2:26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2:26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2:26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2:26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2:26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2:26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2:26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2:26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2:26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2:26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2:26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2:26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2:26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2:26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2:26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2:26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2:26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2:26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2:26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2:26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2:26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2:26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2:26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2:26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2:26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2:26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2:26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2:26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2:26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2:26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2:26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2:26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2:26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2:26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2:26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2:26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2:26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2:26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2:26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2:26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2:26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2:26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2:26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2:26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2:26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2:26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2:26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2:26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2:26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2:26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2:26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2:26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2:26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2:26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2:26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2:26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2:26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2:26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2:26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2:26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2:26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2:26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2:26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2:26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2:26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2:26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2:26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2:26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2:26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2:26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2:26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2:26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2:26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2:26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2:26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2:26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2:26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2:26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2:26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2:26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2:26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2:26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2:26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2:26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2:26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2:26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2:26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2:26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2:26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2:26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2:26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2:26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2:26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2:26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2:26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2:26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2:26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2:26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2:26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2:26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2:26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2:26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2:26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2:26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2:26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2:26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2:26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2:26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2:26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2:26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2:26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2:26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2:26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2:26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2:26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2:26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2:26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2:26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2:26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2:26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2:26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2:26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2:26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2:26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2:26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2:26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2:26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2:26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2:26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2:26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2:26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2:26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2:26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2:26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2:26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2:26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2:26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2:26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2:26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2:26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2:26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2:26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2:26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2:26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2:26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2:26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2:26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2:26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2:26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2:26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2:26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2:26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2:26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2:26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2:26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2:26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2:26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2:26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2:26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2:26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2:26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2:26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2:26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2:26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2:26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2:26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2:26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2:26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2:26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2:26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2:26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2:26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2:26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2:26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2:26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2:26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2:26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2:26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2:26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2:26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2:26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2:26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Jacque Abreu</cp:lastModifiedBy>
  <dcterms:created xsi:type="dcterms:W3CDTF">2024-12-19T13:13:10Z</dcterms:created>
  <dcterms:modified xsi:type="dcterms:W3CDTF">2026-10-21T23:01:02Z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